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  <sheet name="Reference" sheetId="2" state="visible" r:id="rId4"/>
  </sheets>
  <definedNames>
    <definedName function="false" hidden="false" localSheetId="0" name="_xlnm.Print_Area" vbProcedure="false">Calculator!$A$1:$H$32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<sst xmlns="http://schemas.openxmlformats.org/spreadsheetml/2006/main" count="106" uniqueCount="90">
  <si>
    <t xml:space="preserve">Cable Short-Circuit Withstand Calculator</t>
  </si>
  <si>
    <t xml:space="preserve">Based on ICEA P-32-382 (phase) and ICEA P-45-482 (neutral/shield)</t>
  </si>
  <si>
    <t xml:space="preserve">PHASE CONDUCTOR INPUTS</t>
  </si>
  <si>
    <t xml:space="preserve">CONCENTRIC NEUTRAL INPUTS</t>
  </si>
  <si>
    <t xml:space="preserve">Conductor material</t>
  </si>
  <si>
    <t xml:space="preserve">Al</t>
  </si>
  <si>
    <t xml:space="preserve">(Cu or Al)</t>
  </si>
  <si>
    <t xml:space="preserve">Neutral wire count</t>
  </si>
  <si>
    <t xml:space="preserve">wires</t>
  </si>
  <si>
    <t xml:space="preserve">Conductor area</t>
  </si>
  <si>
    <t xml:space="preserve">cmil</t>
  </si>
  <si>
    <t xml:space="preserve">Neutral wire size (AWG)</t>
  </si>
  <si>
    <t xml:space="preserve">T₁ — continuous operating temp</t>
  </si>
  <si>
    <t xml:space="preserve">°C</t>
  </si>
  <si>
    <t xml:space="preserve">T₁ — neutral operating temp</t>
  </si>
  <si>
    <t xml:space="preserve">T₂ — short-circuit max temp</t>
  </si>
  <si>
    <t xml:space="preserve">T₂ — neutral short-circuit max temp</t>
  </si>
  <si>
    <t xml:space="preserve">Fault clearing time</t>
  </si>
  <si>
    <t xml:space="preserve">cycles</t>
  </si>
  <si>
    <t xml:space="preserve">Ground-fault clearing time</t>
  </si>
  <si>
    <t xml:space="preserve">Available phase fault current</t>
  </si>
  <si>
    <t xml:space="preserve">kA</t>
  </si>
  <si>
    <t xml:space="preserve">Ground-fault current on this neutral</t>
  </si>
  <si>
    <t xml:space="preserve">PHASE CONDUCTOR RESULTS</t>
  </si>
  <si>
    <t xml:space="preserve">CONCENTRIC NEUTRAL RESULTS</t>
  </si>
  <si>
    <t xml:space="preserve">K (material constant)</t>
  </si>
  <si>
    <t xml:space="preserve">Single wire area (from AWG table)</t>
  </si>
  <si>
    <t xml:space="preserve">λ (zero-resistance temp)</t>
  </si>
  <si>
    <t xml:space="preserve">Total neutral copper area</t>
  </si>
  <si>
    <t xml:space="preserve">Clearing time</t>
  </si>
  <si>
    <t xml:space="preserve">seconds</t>
  </si>
  <si>
    <t xml:space="preserve">Fc (short-circuit factor)</t>
  </si>
  <si>
    <t xml:space="preserve">Fc — neutral (copper)</t>
  </si>
  <si>
    <t xml:space="preserve">Phase withstand current</t>
  </si>
  <si>
    <t xml:space="preserve">Neutral withstand current</t>
  </si>
  <si>
    <t xml:space="preserve">Maximum clearing time at given fault</t>
  </si>
  <si>
    <t xml:space="preserve">PHASE VERDICT</t>
  </si>
  <si>
    <t xml:space="preserve">NEUTRAL VERDICT</t>
  </si>
  <si>
    <t xml:space="preserve">Phase withstand vs. available fault</t>
  </si>
  <si>
    <t xml:space="preserve">Neutral withstand vs. ground fault</t>
  </si>
  <si>
    <t xml:space="preserve">Margin</t>
  </si>
  <si>
    <t xml:space="preserve">NOTES</t>
  </si>
  <si>
    <t xml:space="preserve">1. Blue values are inputs — change these for your project. Black values are calculated.</t>
  </si>
  <si>
    <t xml:space="preserve">2. Phase withstand uses ICEA P-32-382. Neutral withstand uses ICEA P-45-482 basis (copper, reduced T₂).</t>
  </si>
  <si>
    <t xml:space="preserve">3. Neutral T₂ is typically 180–200 °C (bare copper against jacket), not 250 °C. Confirm with manufacturer.</t>
  </si>
  <si>
    <t xml:space="preserve">4. All currents are RMS symmetrical. Apply asymmetry factor to the fault side for high X/R.</t>
  </si>
  <si>
    <t xml:space="preserve">5. The adiabatic model is conservative for clearing times beyond ~1–2 seconds.</t>
  </si>
  <si>
    <t xml:space="preserve">6. Both checks must PASS for the cable to be acceptable.</t>
  </si>
  <si>
    <t xml:space="preserve">AWG</t>
  </si>
  <si>
    <t xml:space="preserve">Area (cmil)</t>
  </si>
  <si>
    <t xml:space="preserve">Insulation (T₁ → T₂)</t>
  </si>
  <si>
    <t xml:space="preserve">Copper</t>
  </si>
  <si>
    <t xml:space="preserve">Aluminum</t>
  </si>
  <si>
    <t xml:space="preserve">Size</t>
  </si>
  <si>
    <t xml:space="preserve">Copper (cmil)</t>
  </si>
  <si>
    <t xml:space="preserve">Aluminum (cmil)</t>
  </si>
  <si>
    <t xml:space="preserve">XLPE/EPR (90→250 °C)</t>
  </si>
  <si>
    <t xml:space="preserve">1/0 AWG</t>
  </si>
  <si>
    <t xml:space="preserve">XLPE/EPR (105→250 °C)</t>
  </si>
  <si>
    <t xml:space="preserve">2/0 AWG</t>
  </si>
  <si>
    <t xml:space="preserve">PVC/PE (75→150 °C)</t>
  </si>
  <si>
    <t xml:space="preserve">3/0 AWG</t>
  </si>
  <si>
    <t xml:space="preserve">4/0 AWG</t>
  </si>
  <si>
    <t xml:space="preserve">Insulation</t>
  </si>
  <si>
    <t xml:space="preserve">T₁ (°C)</t>
  </si>
  <si>
    <t xml:space="preserve">T₂ (°C)</t>
  </si>
  <si>
    <t xml:space="preserve">250 kcmil</t>
  </si>
  <si>
    <t xml:space="preserve">XLPE / TR-XLPE</t>
  </si>
  <si>
    <t xml:space="preserve">300 kcmil</t>
  </si>
  <si>
    <t xml:space="preserve">EPR</t>
  </si>
  <si>
    <t xml:space="preserve">350 kcmil</t>
  </si>
  <si>
    <t xml:space="preserve">PVC (≤300 mm²)</t>
  </si>
  <si>
    <t xml:space="preserve">500 kcmil</t>
  </si>
  <si>
    <t xml:space="preserve">PVC (larger)</t>
  </si>
  <si>
    <t xml:space="preserve">750 kcmil</t>
  </si>
  <si>
    <t xml:space="preserve">Paper / PILC</t>
  </si>
  <si>
    <t xml:space="preserve">1000 kcmil</t>
  </si>
  <si>
    <t xml:space="preserve">1/0</t>
  </si>
  <si>
    <t xml:space="preserve">Standard</t>
  </si>
  <si>
    <t xml:space="preserve">Scope</t>
  </si>
  <si>
    <t xml:space="preserve">ICEA P-32-382</t>
  </si>
  <si>
    <t xml:space="preserve">Short-circuit withstand of insulated conductors</t>
  </si>
  <si>
    <t xml:space="preserve">ICEA P-45-482</t>
  </si>
  <si>
    <t xml:space="preserve">Short-circuit performance of metallic shields &amp; sheaths</t>
  </si>
  <si>
    <t xml:space="preserve">ICEA S-94-649</t>
  </si>
  <si>
    <t xml:space="preserve">Concentric-neutral cable construction, 5–46 kV</t>
  </si>
  <si>
    <t xml:space="preserve">IEEE 242</t>
  </si>
  <si>
    <t xml:space="preserve">Protection &amp; coordination; cable damage curves</t>
  </si>
  <si>
    <t xml:space="preserve">IEC 60949</t>
  </si>
  <si>
    <t xml:space="preserve">International equivalent, with non-adiabatic correction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</si>
</sst>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#,##0"/>
    <numFmt numFmtId="167" formatCode="0.0000"/>
    <numFmt numFmtId="168" formatCode="0.00"/>
    <numFmt numFmtId="169" formatCode="0.0"/>
    <numFmt numFmtId="170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B2A3A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1"/>
      <color rgb="FF1B2A3A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b val="true"/>
      <sz val="13"/>
      <color rgb="FFB4532A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color rgb="FFB4532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1B2A3A"/>
      </patternFill>
    </fill>
    <fill>
      <patternFill patternType="solid">
        <fgColor rgb="FFFFFFF0"/>
        <bgColor rgb="FFFFFFFF"/>
      </patternFill>
    </fill>
    <fill>
      <patternFill patternType="solid">
        <fgColor rgb="FFEEF2F7"/>
        <bgColor rgb="FFF6EFE6"/>
      </patternFill>
    </fill>
    <fill>
      <patternFill patternType="solid">
        <fgColor rgb="FFF6EFE6"/>
        <bgColor rgb="FFEEF2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FF0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EFE6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B4532A"/>
      <rgbColor rgb="FF993366"/>
      <rgbColor rgb="FF333399"/>
      <rgbColor rgb="FF1B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B2:H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4"/>
    <col collapsed="false" customWidth="true" hidden="false" outlineLevel="0" max="6" min="6" style="0" width="36"/>
    <col collapsed="false" customWidth="true" hidden="false" outlineLevel="0" max="7" min="7" style="0" width="16"/>
    <col collapsed="false" customWidth="true" hidden="false" outlineLevel="0" max="8" min="8" style="0" width="10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</v>
      </c>
      <c r="C5" s="3"/>
      <c r="D5" s="3"/>
      <c r="F5" s="3" t="s">
        <v>3</v>
      </c>
      <c r="G5" s="3"/>
      <c r="H5" s="3"/>
    </row>
    <row r="6" customFormat="false" ht="15" hidden="false" customHeight="false" outlineLevel="0" collapsed="false">
      <c r="B6" s="4" t="s">
        <v>4</v>
      </c>
      <c r="C6" s="5" t="s">
        <v>5</v>
      </c>
      <c r="D6" s="6" t="s">
        <v>6</v>
      </c>
      <c r="F6" s="4" t="s">
        <v>7</v>
      </c>
      <c r="G6" s="5" t="n">
        <v>20</v>
      </c>
      <c r="H6" s="6" t="s">
        <v>8</v>
      </c>
    </row>
    <row r="7" customFormat="false" ht="15" hidden="false" customHeight="false" outlineLevel="0" collapsed="false">
      <c r="B7" s="4" t="s">
        <v>9</v>
      </c>
      <c r="C7" s="5" t="n">
        <v>211600</v>
      </c>
      <c r="D7" s="6" t="s">
        <v>10</v>
      </c>
      <c r="F7" s="4" t="s">
        <v>11</v>
      </c>
      <c r="G7" s="5" t="n">
        <v>12</v>
      </c>
    </row>
    <row r="8" customFormat="false" ht="15" hidden="false" customHeight="false" outlineLevel="0" collapsed="false">
      <c r="B8" s="4" t="s">
        <v>12</v>
      </c>
      <c r="C8" s="5" t="n">
        <v>90</v>
      </c>
      <c r="D8" s="6" t="s">
        <v>13</v>
      </c>
      <c r="F8" s="4" t="s">
        <v>14</v>
      </c>
      <c r="G8" s="5" t="n">
        <v>90</v>
      </c>
      <c r="H8" s="6" t="s">
        <v>13</v>
      </c>
    </row>
    <row r="9" customFormat="false" ht="15" hidden="false" customHeight="false" outlineLevel="0" collapsed="false">
      <c r="B9" s="4" t="s">
        <v>15</v>
      </c>
      <c r="C9" s="5" t="n">
        <v>250</v>
      </c>
      <c r="D9" s="6" t="s">
        <v>13</v>
      </c>
      <c r="F9" s="4" t="s">
        <v>16</v>
      </c>
      <c r="G9" s="5" t="n">
        <v>200</v>
      </c>
      <c r="H9" s="6" t="s">
        <v>13</v>
      </c>
    </row>
    <row r="10" customFormat="false" ht="15" hidden="false" customHeight="false" outlineLevel="0" collapsed="false">
      <c r="B10" s="4" t="s">
        <v>17</v>
      </c>
      <c r="C10" s="5" t="n">
        <v>30</v>
      </c>
      <c r="D10" s="6" t="s">
        <v>18</v>
      </c>
      <c r="F10" s="4" t="s">
        <v>19</v>
      </c>
      <c r="G10" s="5" t="n">
        <v>30</v>
      </c>
      <c r="H10" s="6" t="s">
        <v>18</v>
      </c>
    </row>
    <row r="11" customFormat="false" ht="15" hidden="false" customHeight="false" outlineLevel="0" collapsed="false">
      <c r="B11" s="4" t="s">
        <v>20</v>
      </c>
      <c r="C11" s="5" t="n">
        <v>17</v>
      </c>
      <c r="D11" s="6" t="s">
        <v>21</v>
      </c>
      <c r="F11" s="4" t="s">
        <v>22</v>
      </c>
      <c r="G11" s="5" t="n">
        <v>10</v>
      </c>
      <c r="H11" s="6" t="s">
        <v>21</v>
      </c>
    </row>
    <row r="13" customFormat="false" ht="15" hidden="false" customHeight="false" outlineLevel="0" collapsed="false">
      <c r="B13" s="7" t="s">
        <v>23</v>
      </c>
      <c r="C13" s="8"/>
      <c r="D13" s="8"/>
      <c r="F13" s="7" t="s">
        <v>24</v>
      </c>
      <c r="G13" s="8"/>
      <c r="H13" s="8"/>
    </row>
    <row r="14" customFormat="false" ht="15" hidden="false" customHeight="false" outlineLevel="0" collapsed="false">
      <c r="B14" s="4" t="s">
        <v>25</v>
      </c>
      <c r="C14" s="9" t="n">
        <f aca="false">IF(UPPER(C6)="CU",0.0297,0.0125)</f>
        <v>0.0125</v>
      </c>
      <c r="F14" s="4" t="s">
        <v>26</v>
      </c>
      <c r="G14" s="10" t="n">
        <f aca="false">VLOOKUP(G7,Reference!A2:B12,2,FALSE())</f>
        <v>6530</v>
      </c>
      <c r="H14" s="6" t="s">
        <v>10</v>
      </c>
    </row>
    <row r="15" customFormat="false" ht="15" hidden="false" customHeight="false" outlineLevel="0" collapsed="false">
      <c r="B15" s="4" t="s">
        <v>27</v>
      </c>
      <c r="C15" s="9" t="n">
        <f aca="false">IF(UPPER(C6)="CU",234,228)</f>
        <v>228</v>
      </c>
      <c r="D15" s="6" t="s">
        <v>13</v>
      </c>
      <c r="F15" s="4" t="s">
        <v>28</v>
      </c>
      <c r="G15" s="10" t="n">
        <f aca="false">G6*G14</f>
        <v>130600</v>
      </c>
      <c r="H15" s="6" t="s">
        <v>10</v>
      </c>
    </row>
    <row r="16" customFormat="false" ht="15" hidden="false" customHeight="false" outlineLevel="0" collapsed="false">
      <c r="B16" s="4" t="s">
        <v>29</v>
      </c>
      <c r="C16" s="11" t="n">
        <f aca="false">C10/60</f>
        <v>0.5</v>
      </c>
      <c r="D16" s="6" t="s">
        <v>30</v>
      </c>
      <c r="F16" s="4" t="s">
        <v>29</v>
      </c>
      <c r="G16" s="11" t="n">
        <f aca="false">G10/60</f>
        <v>0.5</v>
      </c>
      <c r="H16" s="6" t="s">
        <v>30</v>
      </c>
    </row>
    <row r="17" customFormat="false" ht="15" hidden="false" customHeight="false" outlineLevel="0" collapsed="false">
      <c r="B17" s="4" t="s">
        <v>31</v>
      </c>
      <c r="C17" s="11" t="n">
        <f aca="false">SQRT(C14*LOG10((C9+C15)/(C8+C15)))</f>
        <v>0.0470373224986933</v>
      </c>
      <c r="F17" s="4" t="s">
        <v>32</v>
      </c>
      <c r="G17" s="11" t="n">
        <f aca="false">SQRT(0.0297*LOG10((G9+234)/(G8+234)))</f>
        <v>0.0614024279925899</v>
      </c>
    </row>
    <row r="18" customFormat="false" ht="16.15" hidden="false" customHeight="false" outlineLevel="0" collapsed="false">
      <c r="B18" s="4" t="s">
        <v>33</v>
      </c>
      <c r="C18" s="12" t="n">
        <f aca="false">C7*C17/SQRT(C16)/1000</f>
        <v>14.0758053882921</v>
      </c>
      <c r="D18" s="6" t="s">
        <v>21</v>
      </c>
      <c r="F18" s="4" t="s">
        <v>34</v>
      </c>
      <c r="G18" s="13" t="n">
        <f aca="false">G15*G17/SQRT(G16)/1000</f>
        <v>11.3408007237264</v>
      </c>
      <c r="H18" s="6" t="s">
        <v>21</v>
      </c>
    </row>
    <row r="19" customFormat="false" ht="15" hidden="false" customHeight="false" outlineLevel="0" collapsed="false">
      <c r="B19" s="4" t="s">
        <v>35</v>
      </c>
      <c r="C19" s="14" t="n">
        <f aca="false">(C7*C17/(C11*1000))^2*60</f>
        <v>20.5669512798346</v>
      </c>
      <c r="D19" s="6" t="s">
        <v>18</v>
      </c>
      <c r="F19" s="4" t="s">
        <v>35</v>
      </c>
      <c r="G19" s="14" t="n">
        <f aca="false">(G15*G17/(G11*1000))^2*60</f>
        <v>38.5841283165819</v>
      </c>
      <c r="H19" s="6" t="s">
        <v>18</v>
      </c>
    </row>
    <row r="21" customFormat="false" ht="15" hidden="false" customHeight="false" outlineLevel="0" collapsed="false">
      <c r="B21" s="7" t="s">
        <v>36</v>
      </c>
      <c r="C21" s="8"/>
      <c r="D21" s="8"/>
      <c r="F21" s="7" t="s">
        <v>37</v>
      </c>
      <c r="G21" s="8"/>
      <c r="H21" s="8"/>
    </row>
    <row r="22" customFormat="false" ht="16.15" hidden="false" customHeight="false" outlineLevel="0" collapsed="false">
      <c r="B22" s="4" t="s">
        <v>38</v>
      </c>
      <c r="C22" s="15" t="str">
        <f aca="false">IF(C18&gt;=C11,"PASS","FAIL")</f>
        <v>FAIL</v>
      </c>
      <c r="F22" s="4" t="s">
        <v>39</v>
      </c>
      <c r="G22" s="15" t="str">
        <f aca="false">IF(G18&gt;=G11,"PASS","FAIL")</f>
        <v>PASS</v>
      </c>
    </row>
    <row r="23" customFormat="false" ht="15" hidden="false" customHeight="false" outlineLevel="0" collapsed="false">
      <c r="B23" s="4" t="s">
        <v>40</v>
      </c>
      <c r="C23" s="16" t="n">
        <f aca="false">(C18-C11)/C11</f>
        <v>-0.172011447747523</v>
      </c>
      <c r="F23" s="4" t="s">
        <v>40</v>
      </c>
      <c r="G23" s="16" t="n">
        <f aca="false">(G18-G11)/G11</f>
        <v>0.134080072372639</v>
      </c>
    </row>
    <row r="25" customFormat="false" ht="15" hidden="false" customHeight="false" outlineLevel="0" collapsed="false">
      <c r="B25" s="17" t="s">
        <v>41</v>
      </c>
      <c r="C25" s="17"/>
      <c r="D25" s="17"/>
      <c r="E25" s="17"/>
      <c r="F25" s="17"/>
      <c r="G25" s="17"/>
      <c r="H25" s="17"/>
    </row>
    <row r="26" customFormat="false" ht="15" hidden="false" customHeight="true" outlineLevel="0" collapsed="false">
      <c r="B26" s="18" t="s">
        <v>42</v>
      </c>
      <c r="C26" s="18"/>
      <c r="D26" s="18"/>
      <c r="E26" s="18"/>
      <c r="F26" s="18"/>
      <c r="G26" s="18"/>
      <c r="H26" s="18"/>
    </row>
    <row r="27" customFormat="false" ht="15" hidden="false" customHeight="true" outlineLevel="0" collapsed="false">
      <c r="B27" s="18" t="s">
        <v>43</v>
      </c>
      <c r="C27" s="18"/>
      <c r="D27" s="18"/>
      <c r="E27" s="18"/>
      <c r="F27" s="18"/>
      <c r="G27" s="18"/>
      <c r="H27" s="18"/>
    </row>
    <row r="28" customFormat="false" ht="15" hidden="false" customHeight="true" outlineLevel="0" collapsed="false">
      <c r="B28" s="18" t="s">
        <v>44</v>
      </c>
      <c r="C28" s="18"/>
      <c r="D28" s="18"/>
      <c r="E28" s="18"/>
      <c r="F28" s="18"/>
      <c r="G28" s="18"/>
      <c r="H28" s="18"/>
    </row>
    <row r="29" customFormat="false" ht="15" hidden="false" customHeight="true" outlineLevel="0" collapsed="false">
      <c r="B29" s="18" t="s">
        <v>45</v>
      </c>
      <c r="C29" s="18"/>
      <c r="D29" s="18"/>
      <c r="E29" s="18"/>
      <c r="F29" s="18"/>
      <c r="G29" s="18"/>
      <c r="H29" s="18"/>
    </row>
    <row r="30" customFormat="false" ht="15" hidden="false" customHeight="true" outlineLevel="0" collapsed="false">
      <c r="B30" s="18" t="s">
        <v>46</v>
      </c>
      <c r="C30" s="18"/>
      <c r="D30" s="18"/>
      <c r="E30" s="18"/>
      <c r="F30" s="18"/>
      <c r="G30" s="18"/>
      <c r="H30" s="18"/>
    </row>
    <row r="31" customFormat="false" ht="15" hidden="false" customHeight="true" outlineLevel="0" collapsed="false">
      <c r="B31" s="18" t="s">
        <v>47</v>
      </c>
      <c r="C31" s="18"/>
      <c r="D31" s="18"/>
      <c r="E31" s="18"/>
      <c r="F31" s="18"/>
      <c r="G31" s="18"/>
      <c r="H31" s="18"/>
    </row>
  </sheetData>
  <mergeCells count="9">
    <mergeCell ref="B2:H2"/>
    <mergeCell ref="B3:H3"/>
    <mergeCell ref="B25:H25"/>
    <mergeCell ref="B26:H26"/>
    <mergeCell ref="B27:H27"/>
    <mergeCell ref="B28:H28"/>
    <mergeCell ref="B29:H29"/>
    <mergeCell ref="B30:H30"/>
    <mergeCell ref="B31:H31"/>
  </mergeCells>
  <conditionalFormatting sqref="C22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conditionalFormatting sqref="G22">
    <cfRule type="cellIs" priority="4" operator="equal" aboveAverage="0" equalAverage="0" bottom="0" percent="0" rank="0" text="" dxfId="0">
      <formula>"PASS"</formula>
    </cfRule>
    <cfRule type="cellIs" priority="5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2A"/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5"/>
    <col collapsed="false" customWidth="true" hidden="false" outlineLevel="0" max="4" min="4" style="0" width="28"/>
    <col collapsed="false" customWidth="true" hidden="false" outlineLevel="0" max="6" min="5" style="0" width="14"/>
    <col collapsed="false" customWidth="true" hidden="false" outlineLevel="0" max="7" min="7" style="0" width="5"/>
    <col collapsed="false" customWidth="true" hidden="false" outlineLevel="0" max="8" min="8" style="0" width="28"/>
    <col collapsed="false" customWidth="true" hidden="false" outlineLevel="0" max="10" min="9" style="0" width="18"/>
  </cols>
  <sheetData>
    <row r="1" customFormat="false" ht="15" hidden="false" customHeight="false" outlineLevel="0" collapsed="false">
      <c r="A1" s="3" t="s">
        <v>48</v>
      </c>
      <c r="B1" s="3" t="s">
        <v>49</v>
      </c>
      <c r="D1" s="3" t="s">
        <v>50</v>
      </c>
      <c r="E1" s="3" t="s">
        <v>51</v>
      </c>
      <c r="F1" s="3" t="s">
        <v>52</v>
      </c>
      <c r="H1" s="3" t="s">
        <v>53</v>
      </c>
      <c r="I1" s="3" t="s">
        <v>54</v>
      </c>
      <c r="J1" s="3" t="s">
        <v>55</v>
      </c>
    </row>
    <row r="2" customFormat="false" ht="15" hidden="false" customHeight="false" outlineLevel="0" collapsed="false">
      <c r="A2" s="19" t="n">
        <v>18</v>
      </c>
      <c r="B2" s="20" t="n">
        <v>1620</v>
      </c>
      <c r="D2" s="21" t="s">
        <v>56</v>
      </c>
      <c r="E2" s="22" t="n">
        <v>0.0719</v>
      </c>
      <c r="F2" s="22" t="n">
        <v>0.047</v>
      </c>
      <c r="H2" s="19" t="s">
        <v>57</v>
      </c>
      <c r="I2" s="20" t="n">
        <v>105600</v>
      </c>
      <c r="J2" s="20" t="n">
        <v>105600</v>
      </c>
    </row>
    <row r="3" customFormat="false" ht="15" hidden="false" customHeight="false" outlineLevel="0" collapsed="false">
      <c r="A3" s="19" t="n">
        <v>16</v>
      </c>
      <c r="B3" s="20" t="n">
        <v>2580</v>
      </c>
      <c r="D3" s="21" t="s">
        <v>58</v>
      </c>
      <c r="E3" s="22" t="n">
        <v>0.0678</v>
      </c>
      <c r="F3" s="22" t="n">
        <v>0.0443</v>
      </c>
      <c r="H3" s="19" t="s">
        <v>59</v>
      </c>
      <c r="I3" s="20" t="n">
        <v>133100</v>
      </c>
      <c r="J3" s="20" t="n">
        <v>133100</v>
      </c>
    </row>
    <row r="4" customFormat="false" ht="15" hidden="false" customHeight="false" outlineLevel="0" collapsed="false">
      <c r="A4" s="19" t="n">
        <v>14</v>
      </c>
      <c r="B4" s="20" t="n">
        <v>4109</v>
      </c>
      <c r="D4" s="21" t="s">
        <v>60</v>
      </c>
      <c r="E4" s="22" t="n">
        <v>0.0529</v>
      </c>
      <c r="F4" s="22" t="n">
        <v>0.0346</v>
      </c>
      <c r="H4" s="19" t="s">
        <v>61</v>
      </c>
      <c r="I4" s="20" t="n">
        <v>167800</v>
      </c>
      <c r="J4" s="20" t="n">
        <v>167800</v>
      </c>
    </row>
    <row r="5" customFormat="false" ht="15" hidden="false" customHeight="false" outlineLevel="0" collapsed="false">
      <c r="A5" s="19" t="n">
        <v>12</v>
      </c>
      <c r="B5" s="20" t="n">
        <v>6530</v>
      </c>
      <c r="H5" s="19" t="s">
        <v>62</v>
      </c>
      <c r="I5" s="20" t="n">
        <v>211600</v>
      </c>
      <c r="J5" s="20" t="n">
        <v>211600</v>
      </c>
    </row>
    <row r="6" customFormat="false" ht="15" hidden="false" customHeight="false" outlineLevel="0" collapsed="false">
      <c r="A6" s="19" t="n">
        <v>10</v>
      </c>
      <c r="B6" s="20" t="n">
        <v>10380</v>
      </c>
      <c r="D6" s="3" t="s">
        <v>63</v>
      </c>
      <c r="E6" s="3" t="s">
        <v>64</v>
      </c>
      <c r="F6" s="3" t="s">
        <v>65</v>
      </c>
      <c r="H6" s="19" t="s">
        <v>66</v>
      </c>
      <c r="I6" s="20" t="n">
        <v>250000</v>
      </c>
      <c r="J6" s="20" t="n">
        <v>250000</v>
      </c>
    </row>
    <row r="7" customFormat="false" ht="15" hidden="false" customHeight="false" outlineLevel="0" collapsed="false">
      <c r="A7" s="19" t="n">
        <v>8</v>
      </c>
      <c r="B7" s="20" t="n">
        <v>16510</v>
      </c>
      <c r="D7" s="21" t="s">
        <v>67</v>
      </c>
      <c r="E7" s="19" t="n">
        <v>90</v>
      </c>
      <c r="F7" s="19" t="n">
        <v>250</v>
      </c>
      <c r="H7" s="19" t="s">
        <v>68</v>
      </c>
      <c r="I7" s="20" t="n">
        <v>300000</v>
      </c>
      <c r="J7" s="20" t="n">
        <v>300000</v>
      </c>
    </row>
    <row r="8" customFormat="false" ht="15" hidden="false" customHeight="false" outlineLevel="0" collapsed="false">
      <c r="A8" s="19" t="n">
        <v>6</v>
      </c>
      <c r="B8" s="20" t="n">
        <v>26240</v>
      </c>
      <c r="D8" s="21" t="s">
        <v>69</v>
      </c>
      <c r="E8" s="19" t="n">
        <v>90</v>
      </c>
      <c r="F8" s="19" t="n">
        <v>250</v>
      </c>
      <c r="H8" s="19" t="s">
        <v>70</v>
      </c>
      <c r="I8" s="20" t="n">
        <v>350000</v>
      </c>
      <c r="J8" s="20" t="n">
        <v>350000</v>
      </c>
    </row>
    <row r="9" customFormat="false" ht="15" hidden="false" customHeight="false" outlineLevel="0" collapsed="false">
      <c r="A9" s="19" t="n">
        <v>4</v>
      </c>
      <c r="B9" s="20" t="n">
        <v>41740</v>
      </c>
      <c r="D9" s="21" t="s">
        <v>71</v>
      </c>
      <c r="E9" s="19" t="n">
        <v>75</v>
      </c>
      <c r="F9" s="19" t="n">
        <v>160</v>
      </c>
      <c r="H9" s="19" t="s">
        <v>72</v>
      </c>
      <c r="I9" s="20" t="n">
        <v>500000</v>
      </c>
      <c r="J9" s="20" t="n">
        <v>500000</v>
      </c>
    </row>
    <row r="10" customFormat="false" ht="15" hidden="false" customHeight="false" outlineLevel="0" collapsed="false">
      <c r="A10" s="19" t="n">
        <v>2</v>
      </c>
      <c r="B10" s="20" t="n">
        <v>66360</v>
      </c>
      <c r="D10" s="21" t="s">
        <v>73</v>
      </c>
      <c r="E10" s="19" t="n">
        <v>75</v>
      </c>
      <c r="F10" s="19" t="n">
        <v>140</v>
      </c>
      <c r="H10" s="19" t="s">
        <v>74</v>
      </c>
      <c r="I10" s="20" t="n">
        <v>750000</v>
      </c>
      <c r="J10" s="20" t="n">
        <v>750000</v>
      </c>
    </row>
    <row r="11" customFormat="false" ht="15" hidden="false" customHeight="false" outlineLevel="0" collapsed="false">
      <c r="A11" s="19" t="n">
        <v>1</v>
      </c>
      <c r="B11" s="20" t="n">
        <v>83690</v>
      </c>
      <c r="D11" s="21" t="s">
        <v>75</v>
      </c>
      <c r="E11" s="19" t="n">
        <v>85</v>
      </c>
      <c r="F11" s="19" t="n">
        <v>250</v>
      </c>
      <c r="H11" s="19" t="s">
        <v>76</v>
      </c>
      <c r="I11" s="20" t="n">
        <v>1000000</v>
      </c>
      <c r="J11" s="20" t="n">
        <v>1000000</v>
      </c>
    </row>
    <row r="12" customFormat="false" ht="15" hidden="false" customHeight="false" outlineLevel="0" collapsed="false">
      <c r="A12" s="19" t="s">
        <v>77</v>
      </c>
      <c r="B12" s="20" t="n">
        <v>105600</v>
      </c>
    </row>
    <row r="13" customFormat="false" ht="15" hidden="false" customHeight="false" outlineLevel="0" collapsed="false">
      <c r="D13" s="3" t="s">
        <v>78</v>
      </c>
      <c r="E13" s="23" t="s">
        <v>79</v>
      </c>
      <c r="F13" s="23"/>
    </row>
    <row r="14" customFormat="false" ht="15" hidden="false" customHeight="false" outlineLevel="0" collapsed="false">
      <c r="D14" s="24" t="s">
        <v>80</v>
      </c>
      <c r="E14" s="25" t="s">
        <v>81</v>
      </c>
      <c r="F14" s="25"/>
    </row>
    <row r="15" customFormat="false" ht="15" hidden="false" customHeight="false" outlineLevel="0" collapsed="false">
      <c r="D15" s="24" t="s">
        <v>82</v>
      </c>
      <c r="E15" s="25" t="s">
        <v>83</v>
      </c>
      <c r="F15" s="25"/>
    </row>
    <row r="16" customFormat="false" ht="15" hidden="false" customHeight="false" outlineLevel="0" collapsed="false">
      <c r="D16" s="24" t="s">
        <v>84</v>
      </c>
      <c r="E16" s="25" t="s">
        <v>85</v>
      </c>
      <c r="F16" s="25"/>
    </row>
    <row r="17" customFormat="false" ht="15" hidden="false" customHeight="false" outlineLevel="0" collapsed="false">
      <c r="D17" s="24" t="s">
        <v>86</v>
      </c>
      <c r="E17" s="25" t="s">
        <v>87</v>
      </c>
      <c r="F17" s="25"/>
    </row>
    <row r="18" customFormat="false" ht="15" hidden="false" customHeight="false" outlineLevel="0" collapsed="false">
      <c r="D18" s="24" t="s">
        <v>88</v>
      </c>
      <c r="E18" s="25" t="s">
        <v>89</v>
      </c>
      <c r="F18" s="25"/>
    </row>
  </sheetData>
  <mergeCells count="6">
    <mergeCell ref="E13:F13"/>
    <mergeCell ref="E14:F14"/>
    <mergeCell ref="E15:F15"/>
    <mergeCell ref="E16:F16"/>
    <mergeCell ref="E17:F17"/>
    <mergeCell ref="E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2026-06-30T15:16:49Z</dcterms:created>
  <dc:creator>openpyxl</dc:creator>
  <dc:description/>
  <dc:language>en-US</dc:language>
  <cp:lastModifiedBy/>
  <dcterms:modified xsi:type="dcterms:W3CDTF">2026-06-30T15:16:49Z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